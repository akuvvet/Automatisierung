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g-grid" sheetId="1" state="visible" r:id="rId1"/>
    <sheet xmlns:r="http://schemas.openxmlformats.org/officeDocument/2006/relationships" name="touren" sheetId="2" state="visible" r:id="rId2"/>
  </sheets>
  <definedNames>
    <definedName name="_xlnm._FilterDatabase" localSheetId="0" hidden="1">'ag-grid'!$A$1:$AB$12</definedName>
  </definedNames>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87CEFA"/>
        <bgColor rgb="0087CEFA"/>
      </patternFill>
    </fill>
    <fill>
      <patternFill patternType="solid">
        <fgColor rgb="0000FF00"/>
        <bgColor rgb="0000FF00"/>
      </patternFill>
    </fill>
    <fill>
      <patternFill patternType="solid">
        <fgColor rgb="00D3D3D3"/>
        <bgColor rgb="00D3D3D3"/>
      </patternFill>
    </fill>
  </fills>
  <borders count="1">
    <border>
      <left/>
      <right/>
      <top/>
      <bottom/>
      <diagonal/>
    </border>
  </borders>
  <cellStyleXfs count="1">
    <xf numFmtId="0" fontId="0" fillId="0" borderId="0"/>
  </cellStyleXfs>
  <cellXfs count="5">
    <xf numFmtId="0" fontId="0" fillId="0" borderId="0" pivotButton="0" quotePrefix="0" xfId="0"/>
    <xf numFmtId="1"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System</author>
  </authors>
  <commentList>
    <comment ref="L2" authorId="0" shapeId="0">
      <text>
        <t>M2: 
N2: 30.08.24 AP Tochter Frau Marion Anselm: 02233/4053144 oder 0152/34131208
/Mhe*
28.12.23 WICHTIG!!! bitte immer den Schlüssel nutzen /Nagel*
03.01.24 Schlüssel vorhanden/VR* - bitte das Menü auf dem
Wohnzimmertisch abstellen /Nagel*
21.12.2023 AP Sohn Herr Karl-Heinz Anselm Tel.: 0173/5159641 /JL*
"26.10.2023 Verbandsüberleitung zum 13.12.23; Kostenlose Isolierbox bei
Erstbelieferung /PT* "
Auftrag
zurückgestellt
O2: 
P2: 
Q2: 5093218
R2: 695862
S2: 
T2: L.E.: 15.12.25
U2: 20639466
V2: 2011902125</t>
      </text>
    </comment>
    <comment ref="L3" authorId="0" shapeId="0">
      <text>
        <t>M3: 
N3: 30.07.25 AP Bruder Willi Zepp(0174) 5660710/PH*
18.01.24 Vorsorgl. LG Mo-So, M1+D1 ab 05.02.24 lt. Bruder Herr
Zepp/Schellhorn*
22.12.23 Bitte länger warten/Stark
"26.10.2023 Verbandsüberleitung zum 13.12.23; Kostenlose Isolierbox bei
Erstbelieferung /PT* "   @
O3: 
P3: 
Q3: 5093412
R3: 695884
S3: 
T3: L.E.: 15.12.25
U3: 20639469
V3: 2011901147</t>
      </text>
    </comment>
    <comment ref="L4" authorId="0" shapeId="0">
      <text>
        <t>M4: 
N4: 19.08.25 Bitte die TK-Menüs einräumen und jegliche Abbestellungen von KD
ignorieren (auch wenn sie die Annahme verweigern möchte) =&gt; bei Bedarf
Bestellung wiederholen / Bestellung besprechen / bestätigen, lt. Hr.
Caligari/Krockhaus*
1.Etage
11.04.25 AP Herr Lorenz Caligari 0151/26886490 lt. AP/KS*
17.04.25 Betreuer Herr Blume 0175   970 11 44/HE*
1er Box gekauft am 27.06.26
O4: vorübergehend
P4: Vor der Whg.-Tür
Q4: 5093581
R4: 696212
S4: 
T4: L.E.: 17.12.25
U4: 20624167
V4: 2504958932</t>
      </text>
    </comment>
    <comment ref="L5" authorId="0" shapeId="0">
      <text>
        <t>M5: 
N5: Bitte klingeln und lange warten
MFH 2. Etage ohne Aufzug / Klingeln und Menü vor die Wohnungstür stellen
AP Frau Stein (Alexianer) Tel.: 0170/9288998
1er Isolierbox gekauft am ...
O5: MIT Klingeln und/oder Sichtkon
P5: Siehe Bemerkungstext
Q5: 5091944
R5: 690656
S5: 
T5: L.E.: 15.12.25
U5: 20699037
V5: 2011904434</t>
      </text>
    </comment>
    <comment ref="L6" authorId="0" shapeId="0">
      <text>
        <t>M6: 
N6: 17.11.25 Anfahrt trotz Weihnachtsmarkt möglich. Der Weg ist offen lt.
AP/Merz*
13.05.25 Bitte Schlüssel nutzen, klingeln und länger warten. Bitte Menüs
persönlich übergeben. Falls KD nicht öffnet, bitte Menü in Isolierbox
vor die Whg-Tür abstellen/Westphal*
4. OG
27.12.23 bitte Schlüssel nutzen /Nagel*
SÜ geplant am Sonntag, 13.08.23, AP To. ist dann vor Ort,
22.01.24 für Anfahrt Brigittengäßchen ins Navi eingeben, da darf man
kurz parken*
bitte Menüs ohne Fisch, Käse und Alkohol empfehlen,
AP To. Fr. Mallach 0172/9204327,
1er Isolierbox gekauft am 10.08.23
O6: MIT Klingeln und/oder Sichtkon
P6: Vor der Whg.-Tür
Q6: 5093856
R6: 696100
S6: 
T6: L.E.: 08.12.25
U6: 20628529
V6: 2011943659</t>
      </text>
    </comment>
    <comment ref="L7" authorId="0" shapeId="0">
      <text>
        <t>M7: 
N7: MFH, 1.Etage, es kommt jemand zur Tür
AP: Herr Meinert Tel. 0221/25850905
O7: 
P7: 
Q7: 5093887
R7: 695937
S7: 
T7: L.E.: 02.12.25
U7: 20647042
V7: 2504956811</t>
      </text>
    </comment>
    <comment ref="L8" authorId="0" shapeId="0">
      <text>
        <t>M8: 
N8: MFH, 1. Etage, Treppe, links
13.12.23 Bitte klingeln, lange warten und persönlich anliefern./AWe*
13.12.23 PD Cor 0221 / 423 150 23/AWe*
13.12.23 Hausnotruf ASB vorhanden.
"26.10.2023 Verbandsüberleitung zum 13.12.23; Kostenlose Isolierbox bei
Erstbelieferung /PT* "
O8: 
P8: 
Q8: 5091526
R8: 691527
S8: 
T8: L.E.: 15.12.25
U8: 20639609
V8: 2011904442</t>
      </text>
    </comment>
    <comment ref="L9" authorId="0" shapeId="0">
      <text>
        <t>M9: 
N9: 30.06.25 WICHTIG! Klingel rechts 2. von unten, 1.Etage MFH, lange
klingeln, besonders lange warten und wenn KD nicht öffnet, bei den
Nachbarn klingeln und das Menü in die Isolierbox vor der Wohnungstür
abstellen, 2er Isolierbox gekauft am 01.07.25, AP Tochter Fr. Barbara
Rahn 0172/9704592 /Nagel*
O9: MIT Klingeln und/oder Sichtkon
P9: Siehe Bemerkungstext
Q9: 5091473
R9: 691618
S9: einkaufbarbara@rahn-familie.de
T9: L.E.: 15.12.25
U9: 33061470
V9: 2504957556</t>
      </text>
    </comment>
    <comment ref="L10" authorId="0" shapeId="0">
      <text>
        <t>M10: 
N10: 1er Isolierbox gekauft am 12.06.25
MFH 1.Etage.
Sohn, Herr Marcel Sürig, Tel.: 02234/47570@
O10: MIT Klingeln und/oder Sichtkon
P10: Vor der Whg.-Tür
Q10: 5091222
R10: 691822
S10: josef.suerig@netcologne.de
T10: L.E.: 08.12.25
U10: 20697894
V10: 2504957009</t>
      </text>
    </comment>
    <comment ref="L11" authorId="0" shapeId="0">
      <text>
        <t>M11: 
N11: 05.07.24 es darf vor der mittleren Garage geparkt werden lt. KD/UV*
05.07.24 bitte klingeln und hoch gehen, die Haustür ist einfach
aufzudrücken,
05.07.24 Etage 1 1/2/UV*
05.07.24 AP PD Burckhardt &lt;(&gt;&amp;&lt;)&gt; Kampa 0221/4201111/UV*
05.07.24 2er Isolierbox gekauft am 11.07.24/UV*
O11: vorübergehend
P11: Vor der Whg.-Tür
Q11: 5090893
R11: 691901
S11: burckardt-kampa@gmx.de
T11: L.E.: 24.11.25
U11: 33010922
V11: 2011922208</t>
      </text>
    </comment>
    <comment ref="L12" authorId="0" shapeId="0">
      <text>
        <t>M12: 
N12: 2er Isolierbox gekauft am 16.06.21
EFH Abstellerlaubnis erteilt beim TG: bitte klingeln und das Menü in die
Isobox vor der Haustür abstellen, lt. Schwiegertochter. AP
Schwiegertochter, Frau Liedel, Tel.:0221/7902655@
O12: vorübergehend
P12: Siehe Bemerkungstext
Q12: 5100893
R12: 689579
S12: 
T12: L.E.: 29.09.25
U12: 20521524
V12: 2011944861</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satMod val="105000"/>
                <a:lumMod val="110000"/>
                <a:tint val="67000"/>
              </a:schemeClr>
            </a:gs>
            <a:gs pos="50000">
              <a:schemeClr val="phClr">
                <a:satMod val="103000"/>
                <a:lumMod val="105000"/>
                <a:tint val="73000"/>
              </a:schemeClr>
            </a:gs>
            <a:gs pos="100000">
              <a:schemeClr val="phClr">
                <a:satMod val="109000"/>
                <a:lumMod val="105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satMod val="120000"/>
                <a:lumMod val="99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satMod val="150000"/>
                <a:lumMod val="102000"/>
                <a:tint val="93000"/>
                <a:shade val="98000"/>
              </a:schemeClr>
            </a:gs>
            <a:gs pos="50000">
              <a:schemeClr val="phClr">
                <a:satMod val="130000"/>
                <a:lumMod val="103000"/>
                <a:tint val="98000"/>
                <a:shade val="90000"/>
              </a:schemeClr>
            </a:gs>
            <a:gs pos="100000">
              <a:schemeClr val="phClr">
                <a:satMod val="120000"/>
                <a:shade val="63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H12"/>
  <sheetViews>
    <sheetView workbookViewId="0">
      <selection activeCell="A1" sqref="A1"/>
    </sheetView>
  </sheetViews>
  <sheetFormatPr baseColWidth="8" defaultRowHeight="15"/>
  <cols>
    <col width="6.5" customWidth="1" min="1" max="1"/>
    <col width="25" customWidth="1" min="2" max="2"/>
    <col width="20" customWidth="1" min="3" max="3"/>
    <col width="6" customWidth="1" min="4" max="4"/>
    <col width="10" customWidth="1" min="5" max="5"/>
    <col width="8" customWidth="1" min="6" max="6"/>
    <col width="15" customWidth="1" min="7" max="7"/>
    <col width="15" customWidth="1" min="8" max="8"/>
    <col width="8" customWidth="1" min="9" max="9"/>
    <col width="8" customWidth="1" min="10" max="10"/>
    <col width="15" customWidth="1" min="11" max="11"/>
    <col width="10" customWidth="1" min="12" max="12"/>
    <col hidden="1" width="16" customWidth="1" min="13" max="13"/>
    <col hidden="1" width="26" customWidth="1" min="14" max="14"/>
    <col hidden="1" width="31" customWidth="1" min="15" max="15"/>
    <col hidden="1" width="30" customWidth="1" min="16" max="16"/>
    <col hidden="1" width="15" customWidth="1" min="17" max="17"/>
    <col hidden="1" width="17" customWidth="1" min="18" max="18"/>
    <col hidden="1" width="34" customWidth="1" min="19" max="19"/>
    <col hidden="1" width="19" customWidth="1" min="20" max="20"/>
    <col hidden="1" width="17" customWidth="1" min="21" max="21"/>
    <col hidden="1" width="17" customWidth="1" min="22" max="22"/>
    <col hidden="1" width="17" customWidth="1" min="23" max="23"/>
    <col hidden="1" width="17" customWidth="1" min="24" max="24"/>
    <col hidden="1" width="17" customWidth="1" min="25" max="25"/>
    <col hidden="1" width="15" customWidth="1" min="26" max="26"/>
    <col hidden="1" width="13" customWidth="1" min="27" max="27"/>
    <col hidden="1" width="13" customWidth="1" min="28" max="28"/>
  </cols>
  <sheetData>
    <row r="1">
      <c r="A1" t="inlineStr">
        <is>
          <t>Tour</t>
        </is>
      </c>
      <c r="B1" t="inlineStr">
        <is>
          <t>Name</t>
        </is>
      </c>
      <c r="C1" t="inlineStr">
        <is>
          <t>Strasse</t>
        </is>
      </c>
      <c r="D1" t="inlineStr">
        <is>
          <t>PLZ</t>
        </is>
      </c>
      <c r="E1" t="inlineStr">
        <is>
          <t>Ort</t>
        </is>
      </c>
      <c r="F1" t="inlineStr">
        <is>
          <t>Reihenfolge</t>
        </is>
      </c>
      <c r="G1" s="1" t="inlineStr">
        <is>
          <t>ExtField04</t>
        </is>
      </c>
      <c r="H1" t="inlineStr">
        <is>
          <t>Kundennummer</t>
        </is>
      </c>
      <c r="I1" t="inlineStr">
        <is>
          <t>Ablage</t>
        </is>
      </c>
      <c r="J1" t="inlineStr">
        <is>
          <t>Schlüssel</t>
        </is>
      </c>
      <c r="K1" t="inlineStr">
        <is>
          <t>ExtField09</t>
        </is>
      </c>
      <c r="L1" t="inlineStr">
        <is>
          <t>Fahrzeuggruppe</t>
        </is>
      </c>
      <c r="M1" t="inlineStr">
        <is>
          <t>Bearbeiten</t>
        </is>
      </c>
      <c r="N1" t="inlineStr">
        <is>
          <t>Info</t>
        </is>
      </c>
      <c r="O1" t="inlineStr">
        <is>
          <t>Zeitraum Ablageerlaubnis</t>
        </is>
      </c>
      <c r="P1" t="inlineStr">
        <is>
          <t>Hinweis Ablageerlaubnis</t>
        </is>
      </c>
      <c r="Q1" t="inlineStr">
        <is>
          <t>LATITUDE</t>
        </is>
      </c>
      <c r="R1" t="inlineStr">
        <is>
          <t>LONGITUDE</t>
        </is>
      </c>
      <c r="S1" t="inlineStr">
        <is>
          <t>ExtField01</t>
        </is>
      </c>
      <c r="T1" t="inlineStr">
        <is>
          <t>ExtField03</t>
        </is>
      </c>
      <c r="U1" t="inlineStr">
        <is>
          <t>ExtField05</t>
        </is>
      </c>
      <c r="V1" t="inlineStr">
        <is>
          <t>ExtField06</t>
        </is>
      </c>
      <c r="W1" t="inlineStr">
        <is>
          <t>ExtField07</t>
        </is>
      </c>
      <c r="X1" t="inlineStr">
        <is>
          <t>ExtField08</t>
        </is>
      </c>
      <c r="Y1" t="inlineStr">
        <is>
          <t>ExtField10</t>
        </is>
      </c>
      <c r="Z1" t="inlineStr">
        <is>
          <t>Datum</t>
        </is>
      </c>
      <c r="AC1" s="2" t="inlineStr">
        <is>
          <t>Menü</t>
        </is>
      </c>
      <c r="AD1" s="2">
        <f>SUBTOTAL(9,AC2:AC2000)</f>
        <v/>
      </c>
      <c r="AE1" s="3" t="inlineStr">
        <is>
          <t>Adressen</t>
        </is>
      </c>
      <c r="AF1" s="3">
        <f>SUMPRODUCT(--(FREQUENCY(COLUMN(1:1175),SUBTOTAL(3,INDIRECT("H"&amp;ROW(2:1175)))*MATCH(H2:H1175&amp;"",H2:H1175&amp;"",0))&gt;0))-1</f>
        <v/>
      </c>
      <c r="AG1" s="4" t="inlineStr">
        <is>
          <t>Touren</t>
        </is>
      </c>
      <c r="AH1" s="4">
        <f>SUMPRODUCT(--(FREQUENCY(COLUMN(1:1),SUBTOTAL(3,INDIRECT("A"&amp;ROW(2:1175)))*MATCH(A2:A1175&amp;"",A2:A1175&amp;"",0))&gt;0))-1</f>
        <v/>
      </c>
    </row>
    <row r="2">
      <c r="A2" t="inlineStr">
        <is>
          <t>D095</t>
        </is>
      </c>
      <c r="B2" t="inlineStr">
        <is>
          <t>Ingeborg Anselm</t>
        </is>
      </c>
      <c r="C2" t="inlineStr">
        <is>
          <t>Georgstr. 20</t>
        </is>
      </c>
      <c r="D2" t="n">
        <v>50676</v>
      </c>
      <c r="E2" t="inlineStr">
        <is>
          <t>Köln</t>
        </is>
      </c>
      <c r="F2" t="n">
        <v>7300</v>
      </c>
      <c r="G2" s="1" t="inlineStr"/>
      <c r="H2" t="n">
        <v>20639466</v>
      </c>
      <c r="I2" t="inlineStr">
        <is>
          <t>Nein</t>
        </is>
      </c>
      <c r="J2" t="inlineStr">
        <is>
          <t>Ja</t>
        </is>
      </c>
      <c r="K2" t="inlineStr">
        <is>
          <t>MS Köln
MS0120</t>
        </is>
      </c>
      <c r="L2" t="inlineStr">
        <is>
          <t>1 4231</t>
        </is>
      </c>
      <c r="M2" t="inlineStr"/>
      <c r="N2" t="inlineStr">
        <is>
          <t>30.08.24 AP Tochter Frau Marion Anselm: 02233/4053144 oder 0152/34131208
/Mhe*
28.12.23 WICHTIG!!! bitte immer den Schlüssel nutzen /Nagel*
03.01.24 Schlüssel vorhanden/VR* - bitte das Menü auf dem
Wohnzimmertisch abstellen /Nagel*
21.12.2023 AP Sohn Herr Karl-Heinz Anselm Tel.: 0173/5159641 /JL*
"26.10.2023 Verbandsüberleitung zum 13.12.23; Kostenlose Isolierbox bei
Erstbelieferung /PT* "
Auftrag
zurückgestellt</t>
        </is>
      </c>
      <c r="O2" t="inlineStr"/>
      <c r="P2" t="inlineStr"/>
      <c r="Q2" t="n">
        <v>5093218</v>
      </c>
      <c r="R2" t="n">
        <v>695862</v>
      </c>
      <c r="S2" t="inlineStr"/>
      <c r="T2" t="inlineStr">
        <is>
          <t>L.E.: 15.12.25</t>
        </is>
      </c>
      <c r="U2" t="n">
        <v>20639466</v>
      </c>
      <c r="V2" t="n">
        <v>2011902125</v>
      </c>
      <c r="W2" t="n">
        <v>7300</v>
      </c>
      <c r="X2" t="inlineStr"/>
      <c r="Y2" t="n">
        <v>1</v>
      </c>
      <c r="Z2" t="inlineStr">
        <is>
          <t>17.12.2025</t>
        </is>
      </c>
      <c r="AC2" s="2" t="n">
        <v>1</v>
      </c>
    </row>
    <row r="3">
      <c r="A3" t="inlineStr">
        <is>
          <t>D095</t>
        </is>
      </c>
      <c r="B3" t="inlineStr">
        <is>
          <t>Peter Zepp</t>
        </is>
      </c>
      <c r="C3" t="inlineStr">
        <is>
          <t>Marienplatz 20</t>
        </is>
      </c>
      <c r="D3" t="n">
        <v>50676</v>
      </c>
      <c r="E3" t="inlineStr">
        <is>
          <t>Köln</t>
        </is>
      </c>
      <c r="F3" t="n">
        <v>7750</v>
      </c>
      <c r="G3" s="1" t="n">
        <v>491745660710</v>
      </c>
      <c r="H3" t="n">
        <v>20639469</v>
      </c>
      <c r="I3" t="inlineStr">
        <is>
          <t>Nein</t>
        </is>
      </c>
      <c r="J3" t="inlineStr">
        <is>
          <t>Ja</t>
        </is>
      </c>
      <c r="K3" t="inlineStr">
        <is>
          <t>MS Köln
MS0120</t>
        </is>
      </c>
      <c r="L3" t="inlineStr">
        <is>
          <t>1 4472
1 1503</t>
        </is>
      </c>
      <c r="M3" t="inlineStr"/>
      <c r="N3" t="inlineStr">
        <is>
          <t>30.07.25 AP Bruder Willi Zepp(0174) 5660710/PH*
18.01.24 Vorsorgl. LG Mo-So, M1+D1 ab 05.02.24 lt. Bruder Herr
Zepp/Schellhorn*
22.12.23 Bitte länger warten/Stark
"26.10.2023 Verbandsüberleitung zum 13.12.23; Kostenlose Isolierbox bei
Erstbelieferung /PT* "   @</t>
        </is>
      </c>
      <c r="O3" t="inlineStr"/>
      <c r="P3" t="inlineStr"/>
      <c r="Q3" t="n">
        <v>5093412</v>
      </c>
      <c r="R3" t="n">
        <v>695884</v>
      </c>
      <c r="S3" t="inlineStr"/>
      <c r="T3" t="inlineStr">
        <is>
          <t>L.E.: 15.12.25</t>
        </is>
      </c>
      <c r="U3" t="n">
        <v>20639469</v>
      </c>
      <c r="V3" t="n">
        <v>2011901147</v>
      </c>
      <c r="W3" t="n">
        <v>7750</v>
      </c>
      <c r="X3" t="inlineStr"/>
      <c r="Y3" t="n">
        <v>1</v>
      </c>
      <c r="Z3" t="inlineStr">
        <is>
          <t>17.12.2025</t>
        </is>
      </c>
      <c r="AC3" s="2" t="n">
        <v>1</v>
      </c>
    </row>
    <row r="4">
      <c r="A4" t="inlineStr">
        <is>
          <t>D095</t>
        </is>
      </c>
      <c r="B4" t="inlineStr">
        <is>
          <t>Heike Liebke</t>
        </is>
      </c>
      <c r="C4" t="inlineStr">
        <is>
          <t>Markmannsgasse 3-5</t>
        </is>
      </c>
      <c r="D4" t="n">
        <v>50667</v>
      </c>
      <c r="E4" t="inlineStr">
        <is>
          <t>Köln</t>
        </is>
      </c>
      <c r="F4" t="n">
        <v>8050</v>
      </c>
      <c r="G4" s="1" t="n">
        <v>492212581390</v>
      </c>
      <c r="H4" t="n">
        <v>20624167</v>
      </c>
      <c r="I4" t="inlineStr">
        <is>
          <t>Nein</t>
        </is>
      </c>
      <c r="J4" t="inlineStr">
        <is>
          <t>Nein</t>
        </is>
      </c>
      <c r="K4" t="inlineStr">
        <is>
          <t>LHK Köln</t>
        </is>
      </c>
      <c r="L4" t="inlineStr">
        <is>
          <t>1 47082</t>
        </is>
      </c>
      <c r="M4" t="inlineStr"/>
      <c r="N4" t="inlineStr">
        <is>
          <t xml:space="preserve">19.08.25 Bitte die TK-Menüs einräumen und jegliche Abbestellungen von KD
ignorieren (auch wenn sie die Annahme verweigern möchte) =&gt; bei Bedarf
Bestellung wiederholen / Bestellung besprechen / bestätigen, lt. Hr.
Caligari/Krockhaus*
1.Etage
11.04.25 AP Herr Lorenz Caligari 0151/26886490 lt. AP/KS*
17.04.25 Betreuer Herr Blume 0175   970 11 44/HE*
1er Box gekauft am 27.06.26
</t>
        </is>
      </c>
      <c r="O4" t="inlineStr">
        <is>
          <t>vorübergehend</t>
        </is>
      </c>
      <c r="P4" t="inlineStr">
        <is>
          <t>Vor der Whg.-Tür</t>
        </is>
      </c>
      <c r="Q4" t="n">
        <v>5093581</v>
      </c>
      <c r="R4" t="n">
        <v>696212</v>
      </c>
      <c r="S4" t="inlineStr"/>
      <c r="T4" t="inlineStr">
        <is>
          <t>L.E.: 17.12.25</t>
        </is>
      </c>
      <c r="U4" t="n">
        <v>20624167</v>
      </c>
      <c r="V4" t="n">
        <v>2504958932</v>
      </c>
      <c r="W4" t="n">
        <v>8050</v>
      </c>
      <c r="X4" t="inlineStr"/>
      <c r="Y4" t="n">
        <v>1</v>
      </c>
      <c r="Z4" t="inlineStr">
        <is>
          <t>17.12.2025</t>
        </is>
      </c>
      <c r="AC4" s="2" t="n">
        <v>1</v>
      </c>
    </row>
    <row r="5">
      <c r="A5" t="inlineStr">
        <is>
          <t>D094</t>
        </is>
      </c>
      <c r="B5" t="inlineStr">
        <is>
          <t>Agnes Becker</t>
        </is>
      </c>
      <c r="C5" t="inlineStr">
        <is>
          <t>Zülpicher Str. 402</t>
        </is>
      </c>
      <c r="D5" t="n">
        <v>50935</v>
      </c>
      <c r="E5" t="inlineStr">
        <is>
          <t>Köln</t>
        </is>
      </c>
      <c r="F5" t="n">
        <v>8150</v>
      </c>
      <c r="G5" s="1" t="inlineStr"/>
      <c r="H5" t="n">
        <v>20699037</v>
      </c>
      <c r="I5" t="inlineStr">
        <is>
          <t>Ja</t>
        </is>
      </c>
      <c r="J5" t="inlineStr">
        <is>
          <t>Nein</t>
        </is>
      </c>
      <c r="K5" t="inlineStr">
        <is>
          <t>MS Köln
MS0120</t>
        </is>
      </c>
      <c r="L5" t="inlineStr">
        <is>
          <t>1 4231</t>
        </is>
      </c>
      <c r="M5" t="inlineStr"/>
      <c r="N5" t="inlineStr">
        <is>
          <t xml:space="preserve">Bitte klingeln und lange warten
MFH 2. Etage ohne Aufzug / Klingeln und Menü vor die Wohnungstür stellen
AP Frau Stein (Alexianer) Tel.: 0170/9288998
1er Isolierbox gekauft am ...
</t>
        </is>
      </c>
      <c r="O5" t="inlineStr">
        <is>
          <t>MIT Klingeln und/oder Sichtkon</t>
        </is>
      </c>
      <c r="P5" t="inlineStr">
        <is>
          <t>Siehe Bemerkungstext</t>
        </is>
      </c>
      <c r="Q5" t="n">
        <v>5091944</v>
      </c>
      <c r="R5" t="n">
        <v>690656</v>
      </c>
      <c r="S5" t="inlineStr"/>
      <c r="T5" t="inlineStr">
        <is>
          <t>L.E.: 15.12.25</t>
        </is>
      </c>
      <c r="U5" t="n">
        <v>20699037</v>
      </c>
      <c r="V5" t="n">
        <v>2011904434</v>
      </c>
      <c r="W5" t="n">
        <v>8150</v>
      </c>
      <c r="X5" t="inlineStr"/>
      <c r="Y5" t="n">
        <v>1</v>
      </c>
      <c r="Z5" t="inlineStr">
        <is>
          <t>17.12.2025</t>
        </is>
      </c>
      <c r="AC5" s="2" t="n">
        <v>1</v>
      </c>
    </row>
    <row r="6">
      <c r="A6" t="inlineStr">
        <is>
          <t>D095</t>
        </is>
      </c>
      <c r="B6" t="inlineStr">
        <is>
          <t>Hubert Milz</t>
        </is>
      </c>
      <c r="C6" t="inlineStr">
        <is>
          <t>An Groß St. Martin 8</t>
        </is>
      </c>
      <c r="D6" t="n">
        <v>50667</v>
      </c>
      <c r="E6" t="inlineStr">
        <is>
          <t>Köln</t>
        </is>
      </c>
      <c r="F6" t="n">
        <v>8350</v>
      </c>
      <c r="G6" s="1" t="n">
        <v>49221842779</v>
      </c>
      <c r="H6" t="n">
        <v>20628529</v>
      </c>
      <c r="I6" t="inlineStr">
        <is>
          <t>Ja</t>
        </is>
      </c>
      <c r="J6" t="inlineStr">
        <is>
          <t>Ja</t>
        </is>
      </c>
      <c r="K6" t="inlineStr">
        <is>
          <t>LHK Köln</t>
        </is>
      </c>
      <c r="L6" t="inlineStr">
        <is>
          <t>1 4154</t>
        </is>
      </c>
      <c r="M6" t="inlineStr"/>
      <c r="N6" t="inlineStr">
        <is>
          <t xml:space="preserve">17.11.25 Anfahrt trotz Weihnachtsmarkt möglich. Der Weg ist offen lt.
AP/Merz*
13.05.25 Bitte Schlüssel nutzen, klingeln und länger warten. Bitte Menüs
persönlich übergeben. Falls KD nicht öffnet, bitte Menü in Isolierbox
vor die Whg-Tür abstellen/Westphal*
4. OG
27.12.23 bitte Schlüssel nutzen /Nagel*
SÜ geplant am Sonntag, 13.08.23, AP To. ist dann vor Ort,
22.01.24 für Anfahrt Brigittengäßchen ins Navi eingeben, da darf man
kurz parken*
bitte Menüs ohne Fisch, Käse und Alkohol empfehlen,
AP To. Fr. Mallach 0172/9204327,
1er Isolierbox gekauft am 10.08.23
</t>
        </is>
      </c>
      <c r="O6" t="inlineStr">
        <is>
          <t>MIT Klingeln und/oder Sichtkon</t>
        </is>
      </c>
      <c r="P6" t="inlineStr">
        <is>
          <t>Vor der Whg.-Tür</t>
        </is>
      </c>
      <c r="Q6" t="n">
        <v>5093856</v>
      </c>
      <c r="R6" t="n">
        <v>696100</v>
      </c>
      <c r="S6" t="inlineStr"/>
      <c r="T6" t="inlineStr">
        <is>
          <t>L.E.: 08.12.25</t>
        </is>
      </c>
      <c r="U6" t="n">
        <v>20628529</v>
      </c>
      <c r="V6" t="n">
        <v>2011943659</v>
      </c>
      <c r="W6" t="n">
        <v>8350</v>
      </c>
      <c r="X6" t="inlineStr"/>
      <c r="Y6" t="n">
        <v>1</v>
      </c>
      <c r="Z6" t="inlineStr">
        <is>
          <t>17.12.2025</t>
        </is>
      </c>
      <c r="AC6" s="2" t="n">
        <v>1</v>
      </c>
    </row>
    <row r="7">
      <c r="A7" t="inlineStr">
        <is>
          <t>D095</t>
        </is>
      </c>
      <c r="B7" t="inlineStr">
        <is>
          <t>Rolf Meinert</t>
        </is>
      </c>
      <c r="C7" t="inlineStr">
        <is>
          <t>Bürgerstr. 12-14</t>
        </is>
      </c>
      <c r="D7" t="n">
        <v>50667</v>
      </c>
      <c r="E7" t="inlineStr">
        <is>
          <t>Köln</t>
        </is>
      </c>
      <c r="F7" t="n">
        <v>8500</v>
      </c>
      <c r="G7" s="1" t="inlineStr"/>
      <c r="H7" t="n">
        <v>20647042</v>
      </c>
      <c r="I7" t="inlineStr">
        <is>
          <t>Nein</t>
        </is>
      </c>
      <c r="J7" t="inlineStr">
        <is>
          <t>Nein</t>
        </is>
      </c>
      <c r="K7" t="inlineStr">
        <is>
          <t>LHK Köln</t>
        </is>
      </c>
      <c r="L7" t="inlineStr">
        <is>
          <t>2 13260
2 13780
1 13334
1 13320
1 13282
1 13159
1 13318
1 13144
1 13455
1 13425
1 13076
1 13784</t>
        </is>
      </c>
      <c r="M7" t="inlineStr"/>
      <c r="N7" t="inlineStr">
        <is>
          <t xml:space="preserve">MFH, 1.Etage, es kommt jemand zur Tür
AP: Herr Meinert Tel. 0221/25850905
</t>
        </is>
      </c>
      <c r="O7" t="inlineStr"/>
      <c r="P7" t="inlineStr"/>
      <c r="Q7" t="n">
        <v>5093887</v>
      </c>
      <c r="R7" t="n">
        <v>695937</v>
      </c>
      <c r="S7" t="inlineStr"/>
      <c r="T7" t="inlineStr">
        <is>
          <t>L.E.: 02.12.25</t>
        </is>
      </c>
      <c r="U7" t="n">
        <v>20647042</v>
      </c>
      <c r="V7" t="n">
        <v>2504956811</v>
      </c>
      <c r="W7" t="n">
        <v>8500</v>
      </c>
      <c r="X7" t="inlineStr"/>
      <c r="Y7" t="n">
        <v>1</v>
      </c>
      <c r="Z7" t="inlineStr">
        <is>
          <t>17.12.2025</t>
        </is>
      </c>
      <c r="AC7" s="2" t="n"/>
    </row>
    <row r="8">
      <c r="A8" t="inlineStr">
        <is>
          <t>D094</t>
        </is>
      </c>
      <c r="B8" t="inlineStr">
        <is>
          <t>Helma Loevenich</t>
        </is>
      </c>
      <c r="C8" t="inlineStr">
        <is>
          <t>Nürburgstr. 11</t>
        </is>
      </c>
      <c r="D8" t="n">
        <v>50937</v>
      </c>
      <c r="E8" t="inlineStr">
        <is>
          <t>Köln</t>
        </is>
      </c>
      <c r="F8" t="n">
        <v>9100</v>
      </c>
      <c r="G8" s="1" t="n">
        <v>49221438378</v>
      </c>
      <c r="H8" t="n">
        <v>20639609</v>
      </c>
      <c r="I8" t="inlineStr">
        <is>
          <t>Nein</t>
        </is>
      </c>
      <c r="J8" t="inlineStr">
        <is>
          <t>Nein</t>
        </is>
      </c>
      <c r="K8" t="inlineStr">
        <is>
          <t>MS Köln
MS0120</t>
        </is>
      </c>
      <c r="L8" t="inlineStr">
        <is>
          <t>1 4074
1 1503
1 89721</t>
        </is>
      </c>
      <c r="M8" t="inlineStr"/>
      <c r="N8" t="inlineStr">
        <is>
          <t xml:space="preserve">MFH, 1. Etage, Treppe, links
13.12.23 Bitte klingeln, lange warten und persönlich anliefern./AWe*
13.12.23 PD Cor 0221 / 423 150 23/AWe*
13.12.23 Hausnotruf ASB vorhanden.
"26.10.2023 Verbandsüberleitung zum 13.12.23; Kostenlose Isolierbox bei
Erstbelieferung /PT* "
</t>
        </is>
      </c>
      <c r="O8" t="inlineStr"/>
      <c r="P8" t="inlineStr"/>
      <c r="Q8" t="n">
        <v>5091526</v>
      </c>
      <c r="R8" t="n">
        <v>691527</v>
      </c>
      <c r="S8" t="inlineStr"/>
      <c r="T8" t="inlineStr">
        <is>
          <t>L.E.: 15.12.25</t>
        </is>
      </c>
      <c r="U8" t="n">
        <v>20639609</v>
      </c>
      <c r="V8" t="n">
        <v>2011904442</v>
      </c>
      <c r="W8" t="n">
        <v>9100</v>
      </c>
      <c r="X8" t="inlineStr"/>
      <c r="Y8" t="n">
        <v>1</v>
      </c>
      <c r="Z8" t="inlineStr">
        <is>
          <t>17.12.2025</t>
        </is>
      </c>
      <c r="AC8" s="2" t="n">
        <v>1</v>
      </c>
    </row>
    <row r="9">
      <c r="A9" t="inlineStr">
        <is>
          <t>D094</t>
        </is>
      </c>
      <c r="B9" t="inlineStr">
        <is>
          <t>Gerhard Ulrich</t>
        </is>
      </c>
      <c r="C9" t="inlineStr">
        <is>
          <t>Nürburgstr. 1</t>
        </is>
      </c>
      <c r="D9" t="n">
        <v>50937</v>
      </c>
      <c r="E9" t="inlineStr">
        <is>
          <t>Köln</t>
        </is>
      </c>
      <c r="F9" t="n">
        <v>9180</v>
      </c>
      <c r="G9" s="1" t="n">
        <v>492214301694</v>
      </c>
      <c r="H9" t="n">
        <v>33061470</v>
      </c>
      <c r="I9" t="inlineStr">
        <is>
          <t>Ja</t>
        </is>
      </c>
      <c r="J9" t="inlineStr">
        <is>
          <t>Nein</t>
        </is>
      </c>
      <c r="K9" t="inlineStr">
        <is>
          <t xml:space="preserve">LHK Köln
</t>
        </is>
      </c>
      <c r="L9" t="inlineStr">
        <is>
          <t>1 4767
1 4465</t>
        </is>
      </c>
      <c r="M9" t="inlineStr"/>
      <c r="N9" t="inlineStr">
        <is>
          <t xml:space="preserve">30.06.25 WICHTIG! Klingel rechts 2. von unten, 1.Etage MFH, lange
klingeln, besonders lange warten und wenn KD nicht öffnet, bei den
Nachbarn klingeln und das Menü in die Isolierbox vor der Wohnungstür
abstellen, 2er Isolierbox gekauft am 01.07.25, AP Tochter Fr. Barbara
Rahn 0172/9704592 /Nagel*
</t>
        </is>
      </c>
      <c r="O9" t="inlineStr">
        <is>
          <t>MIT Klingeln und/oder Sichtkon</t>
        </is>
      </c>
      <c r="P9" t="inlineStr">
        <is>
          <t>Siehe Bemerkungstext</t>
        </is>
      </c>
      <c r="Q9" t="n">
        <v>5091473</v>
      </c>
      <c r="R9" t="n">
        <v>691618</v>
      </c>
      <c r="S9" t="inlineStr">
        <is>
          <t>einkaufbarbara@rahn-familie.de</t>
        </is>
      </c>
      <c r="T9" t="inlineStr">
        <is>
          <t>L.E.: 15.12.25</t>
        </is>
      </c>
      <c r="U9" t="n">
        <v>33061470</v>
      </c>
      <c r="V9" t="n">
        <v>2504957556</v>
      </c>
      <c r="W9" t="n">
        <v>9180</v>
      </c>
      <c r="X9" t="inlineStr"/>
      <c r="Y9" t="n">
        <v>1</v>
      </c>
      <c r="Z9" t="inlineStr">
        <is>
          <t>17.12.2025</t>
        </is>
      </c>
      <c r="AC9" s="2" t="n">
        <v>2</v>
      </c>
    </row>
    <row r="10">
      <c r="A10" t="inlineStr">
        <is>
          <t>D094</t>
        </is>
      </c>
      <c r="B10" t="inlineStr">
        <is>
          <t>Josef Sürig</t>
        </is>
      </c>
      <c r="C10" t="inlineStr">
        <is>
          <t>Neuenhöfer Allee 23</t>
        </is>
      </c>
      <c r="D10" t="n">
        <v>50937</v>
      </c>
      <c r="E10" t="inlineStr">
        <is>
          <t>Köln</t>
        </is>
      </c>
      <c r="F10" t="n">
        <v>9400</v>
      </c>
      <c r="G10" s="1" t="n">
        <v>491735164962</v>
      </c>
      <c r="H10" t="n">
        <v>20697894</v>
      </c>
      <c r="I10" t="inlineStr">
        <is>
          <t>Ja</t>
        </is>
      </c>
      <c r="J10" t="inlineStr">
        <is>
          <t>Nein</t>
        </is>
      </c>
      <c r="K10" t="inlineStr">
        <is>
          <t>MS Köln
MS0120</t>
        </is>
      </c>
      <c r="L10" t="inlineStr">
        <is>
          <t>1 4598</t>
        </is>
      </c>
      <c r="M10" t="inlineStr"/>
      <c r="N10" t="inlineStr">
        <is>
          <t>1er Isolierbox gekauft am 12.06.25
MFH 1.Etage.
Sohn, Herr Marcel Sürig, Tel.: 02234/47570@</t>
        </is>
      </c>
      <c r="O10" t="inlineStr">
        <is>
          <t>MIT Klingeln und/oder Sichtkon</t>
        </is>
      </c>
      <c r="P10" t="inlineStr">
        <is>
          <t>Vor der Whg.-Tür</t>
        </is>
      </c>
      <c r="Q10" t="n">
        <v>5091222</v>
      </c>
      <c r="R10" t="n">
        <v>691822</v>
      </c>
      <c r="S10" t="inlineStr">
        <is>
          <t>josef.suerig@netcologne.de</t>
        </is>
      </c>
      <c r="T10" t="inlineStr">
        <is>
          <t>L.E.: 08.12.25</t>
        </is>
      </c>
      <c r="U10" t="n">
        <v>20697894</v>
      </c>
      <c r="V10" t="n">
        <v>2504957009</v>
      </c>
      <c r="W10" t="n">
        <v>9400</v>
      </c>
      <c r="X10" t="inlineStr"/>
      <c r="Y10" t="n">
        <v>1</v>
      </c>
      <c r="Z10" t="inlineStr">
        <is>
          <t>17.12.2025</t>
        </is>
      </c>
      <c r="AC10" s="2" t="n">
        <v>1</v>
      </c>
    </row>
    <row r="11">
      <c r="A11" t="inlineStr">
        <is>
          <t>D094</t>
        </is>
      </c>
      <c r="B11" t="inlineStr">
        <is>
          <t>Marlene Jaenicke</t>
        </is>
      </c>
      <c r="C11" t="inlineStr">
        <is>
          <t>Nonnenwertstraße 77</t>
        </is>
      </c>
      <c r="D11" t="n">
        <v>50937</v>
      </c>
      <c r="E11" t="inlineStr">
        <is>
          <t>Köln</t>
        </is>
      </c>
      <c r="F11" t="n">
        <v>9700</v>
      </c>
      <c r="G11" s="1" t="n">
        <v>49221463580</v>
      </c>
      <c r="H11" t="n">
        <v>33010922</v>
      </c>
      <c r="I11" t="inlineStr">
        <is>
          <t>Ja</t>
        </is>
      </c>
      <c r="J11" t="inlineStr">
        <is>
          <t>Nein</t>
        </is>
      </c>
      <c r="K11" t="inlineStr">
        <is>
          <t xml:space="preserve">LHK Köln
</t>
        </is>
      </c>
      <c r="L11" t="inlineStr">
        <is>
          <t>2 4154
2 1503</t>
        </is>
      </c>
      <c r="M11" t="inlineStr"/>
      <c r="N11" t="inlineStr">
        <is>
          <t xml:space="preserve">05.07.24 es darf vor der mittleren Garage geparkt werden lt. KD/UV*
05.07.24 bitte klingeln und hoch gehen, die Haustür ist einfach
aufzudrücken,
05.07.24 Etage 1 1/2/UV*
05.07.24 AP PD Burckhardt &lt;(&gt;&amp;&lt;)&gt; Kampa 0221/4201111/UV*
05.07.24 2er Isolierbox gekauft am 11.07.24/UV*
</t>
        </is>
      </c>
      <c r="O11" t="inlineStr">
        <is>
          <t>vorübergehend</t>
        </is>
      </c>
      <c r="P11" t="inlineStr">
        <is>
          <t>Vor der Whg.-Tür</t>
        </is>
      </c>
      <c r="Q11" t="n">
        <v>5090893</v>
      </c>
      <c r="R11" t="n">
        <v>691901</v>
      </c>
      <c r="S11" t="inlineStr">
        <is>
          <t>burckardt-kampa@gmx.de</t>
        </is>
      </c>
      <c r="T11" t="inlineStr">
        <is>
          <t>L.E.: 24.11.25</t>
        </is>
      </c>
      <c r="U11" t="n">
        <v>33010922</v>
      </c>
      <c r="V11" t="n">
        <v>2011922208</v>
      </c>
      <c r="W11" t="n">
        <v>9700</v>
      </c>
      <c r="X11" t="inlineStr"/>
      <c r="Y11" t="n">
        <v>1</v>
      </c>
      <c r="Z11" t="inlineStr">
        <is>
          <t>17.12.2025</t>
        </is>
      </c>
      <c r="AC11" s="2" t="n">
        <v>2</v>
      </c>
    </row>
    <row r="12">
      <c r="A12" t="inlineStr">
        <is>
          <t>D091</t>
        </is>
      </c>
      <c r="B12" t="inlineStr">
        <is>
          <t>Friedrich und Anne-Maria Liedel</t>
        </is>
      </c>
      <c r="C12" t="inlineStr">
        <is>
          <t>Pater-Dionysius-Str. 39</t>
        </is>
      </c>
      <c r="D12" t="n">
        <v>50767</v>
      </c>
      <c r="E12" t="inlineStr">
        <is>
          <t>Köln</t>
        </is>
      </c>
      <c r="F12" t="n">
        <v>9964</v>
      </c>
      <c r="G12" s="1" t="n">
        <v>492217902655</v>
      </c>
      <c r="H12" t="n">
        <v>20521524</v>
      </c>
      <c r="I12" t="inlineStr">
        <is>
          <t>Ja</t>
        </is>
      </c>
      <c r="J12" t="inlineStr">
        <is>
          <t>Nein</t>
        </is>
      </c>
      <c r="K12" t="inlineStr">
        <is>
          <t>LHK Köln</t>
        </is>
      </c>
      <c r="L12" t="inlineStr">
        <is>
          <t>2 4154</t>
        </is>
      </c>
      <c r="M12" t="inlineStr"/>
      <c r="N12" t="inlineStr">
        <is>
          <t>2er Isolierbox gekauft am 16.06.21
EFH Abstellerlaubnis erteilt beim TG: bitte klingeln und das Menü in die
Isobox vor der Haustür abstellen, lt. Schwiegertochter. AP
Schwiegertochter, Frau Liedel, Tel.:0221/7902655@</t>
        </is>
      </c>
      <c r="O12" t="inlineStr">
        <is>
          <t>vorübergehend</t>
        </is>
      </c>
      <c r="P12" t="inlineStr">
        <is>
          <t>Siehe Bemerkungstext</t>
        </is>
      </c>
      <c r="Q12" t="n">
        <v>5100893</v>
      </c>
      <c r="R12" t="n">
        <v>689579</v>
      </c>
      <c r="S12" t="inlineStr"/>
      <c r="T12" t="inlineStr">
        <is>
          <t>L.E.: 29.09.25</t>
        </is>
      </c>
      <c r="U12" t="n">
        <v>20521524</v>
      </c>
      <c r="V12" t="n">
        <v>2011944861</v>
      </c>
      <c r="W12" t="n">
        <v>9964</v>
      </c>
      <c r="X12" t="inlineStr"/>
      <c r="Y12" t="n">
        <v>1</v>
      </c>
      <c r="Z12" t="inlineStr">
        <is>
          <t>17.12.2025</t>
        </is>
      </c>
      <c r="AC12" s="2" t="n">
        <v>2</v>
      </c>
    </row>
  </sheetData>
  <autoFilter ref="A1:AB12">
    <filterColumn colId="0" hiddenButton="0" showButton="1">
      <filters blank="0">
        <filter val="D009"/>
        <filter val="D090"/>
        <filter val="D091"/>
        <filter val="D092"/>
        <filter val="D093"/>
        <filter val="D094"/>
        <filter val="D096"/>
        <filter val="D095"/>
        <filter val="D208"/>
        <filter val="D251"/>
        <filter val="D270"/>
        <filter val="D271"/>
        <filter val="D291"/>
        <filter val="D292"/>
        <filter val="SCD12"/>
        <filter val="SCD13"/>
      </filters>
    </filterColumn>
  </autoFilter>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Tour</t>
        </is>
      </c>
      <c r="B1" t="inlineStr">
        <is>
          <t>TG (2025-12-17)</t>
        </is>
      </c>
    </row>
    <row r="2">
      <c r="A2" t="inlineStr">
        <is>
          <t>D091</t>
        </is>
      </c>
      <c r="B2" t="n">
        <v>1</v>
      </c>
    </row>
    <row r="3">
      <c r="A3" t="inlineStr">
        <is>
          <t>D094</t>
        </is>
      </c>
      <c r="B3" t="n">
        <v>5</v>
      </c>
    </row>
    <row r="4">
      <c r="A4" t="inlineStr">
        <is>
          <t>D095</t>
        </is>
      </c>
      <c r="B4"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AG Grid</dc:creator>
  <dc:title xmlns:dc="http://purl.org/dc/elements/1.1/">Workbook</dc:title>
  <dcterms:created xmlns:dcterms="http://purl.org/dc/terms/" xmlns:xsi="http://www.w3.org/2001/XMLSchema-instance" xsi:type="dcterms:W3CDTF">2025-12-17T12:02:19Z</dcterms:created>
  <dcterms:modified xmlns:dcterms="http://purl.org/dc/terms/" xmlns:xsi="http://www.w3.org/2001/XMLSchema-instance" xsi:type="dcterms:W3CDTF">2025-12-17T12:31:56Z</dcterms:modified>
</cp:coreProperties>
</file>